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بلال\Documents\SPCTSOS\تقديم المشروع\"/>
    </mc:Choice>
  </mc:AlternateContent>
  <xr:revisionPtr revIDLastSave="0" documentId="13_ncr:1_{64B2305F-0885-4B2C-9F46-7255FFEAC5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رحلات النفط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4" i="1" l="1"/>
  <c r="AF15" i="1"/>
  <c r="AF16" i="1"/>
  <c r="AF17" i="1"/>
  <c r="AF18" i="1"/>
  <c r="AF19" i="1"/>
  <c r="AF20" i="1"/>
  <c r="AF21" i="1"/>
  <c r="AF22" i="1"/>
  <c r="AF13" i="1"/>
  <c r="Y8" i="1" s="1"/>
  <c r="Y7" i="1"/>
</calcChain>
</file>

<file path=xl/sharedStrings.xml><?xml version="1.0" encoding="utf-8"?>
<sst xmlns="http://schemas.openxmlformats.org/spreadsheetml/2006/main" count="273" uniqueCount="91">
  <si>
    <t>التقرير الإداري لحركة النفط من المنبع إلى الخزان (2025-10-21 ⇢ 2026-05-31)</t>
  </si>
  <si>
    <t>يمثل هذا التقرير خلاصة منظومة متكاملة تربط الحقل النفطي بالوجهة النهائية، موفّرةً رؤية دقيقة وشاملة لحركة النفط، ومحققة أعلى معايير الشفافية والحوكمة عبر النظام.</t>
  </si>
  <si>
    <t>عدد الرحلات</t>
  </si>
  <si>
    <t>10</t>
  </si>
  <si>
    <t>إجمالي وزن النفط الصافي (كغ)</t>
  </si>
  <si>
    <t>50,000</t>
  </si>
  <si>
    <t>فرق الوزن الإجمالي (كغ)</t>
  </si>
  <si>
    <t>-360,000</t>
  </si>
  <si>
    <t>رمز القافلة</t>
  </si>
  <si>
    <t>تاريخ الوصول</t>
  </si>
  <si>
    <t>الحقل النفطي</t>
  </si>
  <si>
    <t>نوع النفط</t>
  </si>
  <si>
    <t>منطلق الرحلة</t>
  </si>
  <si>
    <t>الوجهة النهائية</t>
  </si>
  <si>
    <t>الشركة الناقلة</t>
  </si>
  <si>
    <t>رقم الشاحنة</t>
  </si>
  <si>
    <t>اسم الشاحنة</t>
  </si>
  <si>
    <t>سعة الشاحنة</t>
  </si>
  <si>
    <t>اسم السائق</t>
  </si>
  <si>
    <t>هاتف السائق</t>
  </si>
  <si>
    <t>الكمية المتوقعة</t>
  </si>
  <si>
    <t>وحدة الكمية</t>
  </si>
  <si>
    <t>الحرارة (م°)</t>
  </si>
  <si>
    <t>الحرارة (ف°)</t>
  </si>
  <si>
    <t>الكثافة المقاسة</t>
  </si>
  <si>
    <t>الكثافة عند 60°F</t>
  </si>
  <si>
    <t>الأملاح (PPM)</t>
  </si>
  <si>
    <t>نسبة الماء والرواسب</t>
  </si>
  <si>
    <t>نسبة الماء الحر</t>
  </si>
  <si>
    <t>حالة المخبر</t>
  </si>
  <si>
    <t>نوع التحليل</t>
  </si>
  <si>
    <t>ملاحظات المخبر</t>
  </si>
  <si>
    <t>تاريخ التحليل</t>
  </si>
  <si>
    <t>منفذ التحليل</t>
  </si>
  <si>
    <t>الوزن قبل التفريغ</t>
  </si>
  <si>
    <t>الوزن بعد التفريغ</t>
  </si>
  <si>
    <t>وزن النفط الصافي (كغ)</t>
  </si>
  <si>
    <t>الوزن المتوقع (كغ)</t>
  </si>
  <si>
    <t>طريقة الحساب</t>
  </si>
  <si>
    <t>فرق الوزن (كغ)</t>
  </si>
  <si>
    <t>حالة القبان</t>
  </si>
  <si>
    <t>تاريخ الوزن</t>
  </si>
  <si>
    <t>مسؤول الوزن الأول</t>
  </si>
  <si>
    <t>مسؤول الوزن الثاني</t>
  </si>
  <si>
    <t>تم التفريغ في</t>
  </si>
  <si>
    <t>تاريخ انتهاء الرحلة</t>
  </si>
  <si>
    <t>ملخص ملاحظات الرحلة</t>
  </si>
  <si>
    <t>CNV-FULL-HOMS-20260208-001</t>
  </si>
  <si>
    <t>حقل الجبسة</t>
  </si>
  <si>
    <t>خام نفط ثقيل</t>
  </si>
  <si>
    <t>محطة الرصافة</t>
  </si>
  <si>
    <t>حمص-النفط الثقيل</t>
  </si>
  <si>
    <t>شركة النجار</t>
  </si>
  <si>
    <t>100</t>
  </si>
  <si>
    <t>سكانيا</t>
  </si>
  <si>
    <t>عبدالله خالد الاحمد</t>
  </si>
  <si>
    <t>+963000000000</t>
  </si>
  <si>
    <t>متر مكعب</t>
  </si>
  <si>
    <t>مقبول مخبريًا</t>
  </si>
  <si>
    <t>تحليل وسطي</t>
  </si>
  <si>
    <t>قيم وسطية محسوبة من عدد [ 4 ] تحاليل مخبرية أُجريت اليوم على عينات من نفس المصدر (حقل الجبسة) والنوع (خام نفط ثقيل).</t>
  </si>
  <si>
    <t>مدير  إدارة المنطقة الوسطى المهندس علي قرنفل</t>
  </si>
  <si>
    <t>محسوب من الكثافة</t>
  </si>
  <si>
    <t>تم الوزن الثاني</t>
  </si>
  <si>
    <t>الخزان العاشر</t>
  </si>
  <si>
    <t xml:space="preserve">[المخبر]: قيم وسطية محسوبة من عدد [ 4 ] تحاليل مخبرية أُجريت اليوم على عينات من نفس المصدر (حقل الجبسة) والنوع (خام نفط ثقيل)._x000D_
</t>
  </si>
  <si>
    <t>الخزان السابع</t>
  </si>
  <si>
    <t>شركة المتحدة</t>
  </si>
  <si>
    <t>101</t>
  </si>
  <si>
    <t>فولفو</t>
  </si>
  <si>
    <t>ياسر العمار</t>
  </si>
  <si>
    <t>+963999999999</t>
  </si>
  <si>
    <t>قيم وسطية محسوبة من عدد [ 3 ] تحاليل مخبرية أُجريت اليوم على عينات من نفس المصدر (حقل الجبسة) والنوع (خام نفط ثقيل).</t>
  </si>
  <si>
    <t xml:space="preserve">[المخبر]: قيم وسطية محسوبة من عدد [ 3 ] تحاليل مخبرية أُجريت اليوم على عينات من نفس المصدر (حقل الجبسة) والنوع (خام نفط ثقيل)._x000D_
</t>
  </si>
  <si>
    <t>حقل الرميلان</t>
  </si>
  <si>
    <t>103</t>
  </si>
  <si>
    <t>علي الجاسم</t>
  </si>
  <si>
    <t>+4774747477474</t>
  </si>
  <si>
    <t>قيم وسطية محسوبة من عدد [ 2 ] تحاليل مخبرية أُجريت اليوم على عينات من نفس المصدر (حقل الجبسة) والنوع (خام نفط ثقيل).</t>
  </si>
  <si>
    <t xml:space="preserve">[المخبر]: قيم وسطية محسوبة من عدد [ 2 ] تحاليل مخبرية أُجريت اليوم على عينات من نفس المصدر (حقل الجبسة) والنوع (خام نفط ثقيل)._x000D_
</t>
  </si>
  <si>
    <t>105</t>
  </si>
  <si>
    <t>قاطرة</t>
  </si>
  <si>
    <t>علي الاحمد</t>
  </si>
  <si>
    <t>+23456754334</t>
  </si>
  <si>
    <t>قيم وسطية محسوبة من عدد [ 1 ] تحاليل مخبرية أُجريت اليوم على عينات من نفس المصدر (حقل الجبسة) والنوع (خام نفط ثقيل).</t>
  </si>
  <si>
    <t xml:space="preserve">[المخبر]: قيم وسطية محسوبة من عدد [ 1 ] تحاليل مخبرية أُجريت اليوم على عينات من نفس المصدر (حقل الجبسة) والنوع (خام نفط ثقيل)._x000D_
</t>
  </si>
  <si>
    <t>106</t>
  </si>
  <si>
    <t>ياسر العلي</t>
  </si>
  <si>
    <t>+987654567890</t>
  </si>
  <si>
    <t>تحليل حقيقي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</si>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</sst>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7" x14ac:knownFonts="1">
    <font>
      <sz val="11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3"/>
      <color rgb="FF006400"/>
      <name val="Calibri"/>
    </font>
    <font>
      <b/>
      <sz val="13"/>
      <color rgb="FF8B0000"/>
      <name val="Calibri"/>
    </font>
    <font>
      <b/>
      <sz val="11"/>
      <color rgb="FF373737"/>
      <name val="Calibri"/>
    </font>
    <font>
      <b/>
      <sz val="9"/>
      <color rgb="FF28282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F2F7F2"/>
      </patternFill>
    </fill>
  </fills>
  <borders count="18">
    <border>
      <left/>
      <right/>
      <top/>
      <bottom/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hair">
        <color rgb="FFD2D2D2"/>
      </left>
      <right style="hair">
        <color rgb="FFD2D2D2"/>
      </right>
      <top style="hair">
        <color rgb="FFD2D2D2"/>
      </top>
      <bottom style="hair">
        <color rgb="FFD2D2D2"/>
      </bottom>
      <diagonal/>
    </border>
    <border>
      <left style="hair">
        <color rgb="FFD2D2D2"/>
      </left>
      <right style="hair">
        <color rgb="FFD2D2D2"/>
      </right>
      <top style="thin">
        <color rgb="FFA0A0A0"/>
      </top>
      <bottom style="hair">
        <color rgb="FFD2D2D2"/>
      </bottom>
      <diagonal/>
    </border>
    <border>
      <left style="hair">
        <color rgb="FFD2D2D2"/>
      </left>
      <right style="hair">
        <color rgb="FFD2D2D2"/>
      </right>
      <top style="hair">
        <color rgb="FFD2D2D2"/>
      </top>
      <bottom style="thin">
        <color rgb="FFA0A0A0"/>
      </bottom>
      <diagonal/>
    </border>
    <border>
      <left style="thin">
        <color rgb="FFA0A0A0"/>
      </left>
      <right style="hair">
        <color rgb="FFD2D2D2"/>
      </right>
      <top style="thin">
        <color rgb="FFA0A0A0"/>
      </top>
      <bottom style="hair">
        <color rgb="FFD2D2D2"/>
      </bottom>
      <diagonal/>
    </border>
    <border>
      <left style="thin">
        <color rgb="FFA0A0A0"/>
      </left>
      <right style="hair">
        <color rgb="FFD2D2D2"/>
      </right>
      <top style="hair">
        <color rgb="FFD2D2D2"/>
      </top>
      <bottom style="hair">
        <color rgb="FFD2D2D2"/>
      </bottom>
      <diagonal/>
    </border>
    <border>
      <left style="thin">
        <color rgb="FFA0A0A0"/>
      </left>
      <right style="hair">
        <color rgb="FFD2D2D2"/>
      </right>
      <top style="hair">
        <color rgb="FFD2D2D2"/>
      </top>
      <bottom style="thin">
        <color rgb="FFA0A0A0"/>
      </bottom>
      <diagonal/>
    </border>
    <border>
      <left style="hair">
        <color rgb="FFD2D2D2"/>
      </left>
      <right style="thin">
        <color rgb="FFA0A0A0"/>
      </right>
      <top style="thin">
        <color rgb="FFA0A0A0"/>
      </top>
      <bottom style="hair">
        <color rgb="FFD2D2D2"/>
      </bottom>
      <diagonal/>
    </border>
    <border>
      <left style="hair">
        <color rgb="FFD2D2D2"/>
      </left>
      <right style="thin">
        <color rgb="FFA0A0A0"/>
      </right>
      <top style="hair">
        <color rgb="FFD2D2D2"/>
      </top>
      <bottom style="hair">
        <color rgb="FFD2D2D2"/>
      </bottom>
      <diagonal/>
    </border>
    <border>
      <left style="hair">
        <color rgb="FFD2D2D2"/>
      </left>
      <right style="thin">
        <color rgb="FFA0A0A0"/>
      </right>
      <top style="hair">
        <color rgb="FFD2D2D2"/>
      </top>
      <bottom style="thin">
        <color rgb="FFA0A0A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5" borderId="9" xfId="0" applyFont="1" applyFill="1" applyBorder="1" applyAlignment="1">
      <alignment horizontal="center" vertical="center"/>
    </xf>
    <xf numFmtId="164" fontId="6" fillId="5" borderId="9" xfId="0" applyNumberFormat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64" fontId="6" fillId="6" borderId="11" xfId="0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right" vertical="top"/>
    </xf>
    <xf numFmtId="0" fontId="6" fillId="6" borderId="16" xfId="0" applyFont="1" applyFill="1" applyBorder="1" applyAlignment="1">
      <alignment horizontal="right" vertical="top"/>
    </xf>
    <xf numFmtId="0" fontId="6" fillId="6" borderId="17" xfId="0" applyFont="1" applyFill="1" applyBorder="1" applyAlignment="1">
      <alignment horizontal="right" vertical="top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0" fillId="0" borderId="9" xfId="0" applyBorder="1"/>
  </cellXfs>
  <cellStyles count="1">
    <cellStyle name="عادي" xfId="0" builtinId="0"/>
  </cellStyles>
  <dxfs count="1">
    <dxf>
      <font>
        <color rgb="FF8B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2"/>
  <sheetViews>
    <sheetView rightToLeft="1" tabSelected="1" topLeftCell="R1" workbookViewId="0">
      <pane ySplit="12" topLeftCell="A13" activePane="bottomLeft" state="frozen"/>
      <selection pane="bottomLeft" activeCell="AD13" sqref="AD13:AD22"/>
    </sheetView>
  </sheetViews>
  <sheetFormatPr defaultColWidth="9.109375" defaultRowHeight="14.4" x14ac:dyDescent="0.3"/>
  <cols>
    <col min="1" max="1" width="23.77734375" style="16" customWidth="1"/>
    <col min="2" max="2" width="13.21875" style="16" customWidth="1"/>
    <col min="3" max="3" width="8.88671875" style="16" customWidth="1"/>
    <col min="4" max="4" width="9.21875" style="16" customWidth="1"/>
    <col min="5" max="5" width="9.5546875" style="16" customWidth="1"/>
    <col min="6" max="6" width="12.5546875" style="16" customWidth="1"/>
    <col min="7" max="7" width="8.88671875" style="16" customWidth="1"/>
    <col min="8" max="8" width="8" style="16" customWidth="1"/>
    <col min="9" max="9" width="8.33203125" style="16" customWidth="1"/>
    <col min="10" max="10" width="8.77734375" style="16" customWidth="1"/>
    <col min="11" max="11" width="12.6640625" style="16" customWidth="1"/>
    <col min="12" max="12" width="13.109375" style="16" customWidth="1"/>
    <col min="13" max="13" width="9.88671875" style="16" customWidth="1"/>
    <col min="14" max="15" width="8" style="16" customWidth="1"/>
    <col min="16" max="16" width="8.33203125" style="16" customWidth="1"/>
    <col min="17" max="17" width="9.77734375" style="16" customWidth="1"/>
    <col min="18" max="18" width="10.88671875" style="16" customWidth="1"/>
    <col min="19" max="19" width="9.6640625" style="16" customWidth="1"/>
    <col min="20" max="20" width="13.109375" style="16" customWidth="1"/>
    <col min="21" max="21" width="9.88671875" style="16" customWidth="1"/>
    <col min="22" max="22" width="8.5546875" style="16" customWidth="1"/>
    <col min="23" max="23" width="8.6640625" style="16" customWidth="1"/>
    <col min="24" max="24" width="32" style="16" customWidth="1"/>
    <col min="25" max="25" width="13.21875" style="16" customWidth="1"/>
    <col min="26" max="26" width="29.6640625" style="16" customWidth="1"/>
    <col min="27" max="27" width="11.109375" style="16" customWidth="1"/>
    <col min="28" max="28" width="11" style="16" customWidth="1"/>
    <col min="29" max="29" width="14.109375" style="16" customWidth="1"/>
    <col min="30" max="30" width="11.77734375" style="16" customWidth="1"/>
    <col min="31" max="31" width="12.5546875" style="16" customWidth="1"/>
    <col min="32" max="32" width="9.6640625" style="16" customWidth="1"/>
    <col min="33" max="33" width="8.77734375" style="16" customWidth="1"/>
    <col min="34" max="34" width="13.21875" style="16" customWidth="1"/>
    <col min="35" max="36" width="29.6640625" style="16" customWidth="1"/>
    <col min="37" max="37" width="8.6640625" style="16" customWidth="1"/>
    <col min="38" max="38" width="11.6640625" style="16" customWidth="1"/>
    <col min="39" max="39" width="32" style="16" customWidth="1"/>
    <col min="40" max="40" width="9.109375" style="16" customWidth="1"/>
    <col min="41" max="16384" width="9.109375" style="16"/>
  </cols>
  <sheetData>
    <row r="1" spans="1:39" ht="37.950000000000003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</row>
    <row r="2" spans="1:39" ht="42" customHeight="1" x14ac:dyDescent="0.3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</row>
    <row r="6" spans="1:39" ht="17.399999999999999" x14ac:dyDescent="0.3">
      <c r="T6" s="19" t="s">
        <v>2</v>
      </c>
      <c r="U6" s="20" t="s">
        <v>2</v>
      </c>
      <c r="V6" s="20" t="s">
        <v>2</v>
      </c>
      <c r="W6" s="20" t="s">
        <v>2</v>
      </c>
      <c r="X6" s="20" t="s">
        <v>2</v>
      </c>
      <c r="Y6" s="21" t="s">
        <v>3</v>
      </c>
      <c r="Z6" s="21" t="s">
        <v>3</v>
      </c>
      <c r="AA6" s="22" t="s">
        <v>3</v>
      </c>
    </row>
    <row r="7" spans="1:39" ht="17.399999999999999" x14ac:dyDescent="0.3">
      <c r="T7" s="23" t="s">
        <v>4</v>
      </c>
      <c r="U7" s="24" t="s">
        <v>4</v>
      </c>
      <c r="V7" s="24" t="s">
        <v>4</v>
      </c>
      <c r="W7" s="24" t="s">
        <v>4</v>
      </c>
      <c r="X7" s="24" t="s">
        <v>4</v>
      </c>
      <c r="Y7" s="25">
        <f>SUM(AC13:AC22)</f>
        <v>380000</v>
      </c>
      <c r="Z7" s="25" t="s">
        <v>5</v>
      </c>
      <c r="AA7" s="26" t="s">
        <v>5</v>
      </c>
    </row>
    <row r="8" spans="1:39" ht="17.399999999999999" x14ac:dyDescent="0.3">
      <c r="T8" s="27" t="s">
        <v>6</v>
      </c>
      <c r="U8" s="28" t="s">
        <v>6</v>
      </c>
      <c r="V8" s="28" t="s">
        <v>6</v>
      </c>
      <c r="W8" s="28" t="s">
        <v>6</v>
      </c>
      <c r="X8" s="28" t="s">
        <v>6</v>
      </c>
      <c r="Y8" s="29">
        <f>SUM(AF13:AF22)</f>
        <v>10000</v>
      </c>
      <c r="Z8" s="29" t="s">
        <v>7</v>
      </c>
      <c r="AA8" s="30" t="s">
        <v>7</v>
      </c>
    </row>
    <row r="12" spans="1:39" x14ac:dyDescent="0.3">
      <c r="A12" s="8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  <c r="K12" s="5" t="s">
        <v>18</v>
      </c>
      <c r="L12" s="5" t="s">
        <v>19</v>
      </c>
      <c r="M12" s="5" t="s">
        <v>20</v>
      </c>
      <c r="N12" s="5" t="s">
        <v>21</v>
      </c>
      <c r="O12" s="5" t="s">
        <v>22</v>
      </c>
      <c r="P12" s="5" t="s">
        <v>23</v>
      </c>
      <c r="Q12" s="5" t="s">
        <v>24</v>
      </c>
      <c r="R12" s="5" t="s">
        <v>25</v>
      </c>
      <c r="S12" s="5" t="s">
        <v>26</v>
      </c>
      <c r="T12" s="5" t="s">
        <v>27</v>
      </c>
      <c r="U12" s="5" t="s">
        <v>28</v>
      </c>
      <c r="V12" s="5" t="s">
        <v>29</v>
      </c>
      <c r="W12" s="5" t="s">
        <v>30</v>
      </c>
      <c r="X12" s="5" t="s">
        <v>31</v>
      </c>
      <c r="Y12" s="5" t="s">
        <v>32</v>
      </c>
      <c r="Z12" s="5" t="s">
        <v>33</v>
      </c>
      <c r="AA12" s="5" t="s">
        <v>34</v>
      </c>
      <c r="AB12" s="5" t="s">
        <v>35</v>
      </c>
      <c r="AC12" s="5" t="s">
        <v>36</v>
      </c>
      <c r="AD12" s="5" t="s">
        <v>37</v>
      </c>
      <c r="AE12" s="5" t="s">
        <v>38</v>
      </c>
      <c r="AF12" s="5" t="s">
        <v>39</v>
      </c>
      <c r="AG12" s="5" t="s">
        <v>40</v>
      </c>
      <c r="AH12" s="5" t="s">
        <v>41</v>
      </c>
      <c r="AI12" s="5" t="s">
        <v>42</v>
      </c>
      <c r="AJ12" s="5" t="s">
        <v>43</v>
      </c>
      <c r="AK12" s="5" t="s">
        <v>44</v>
      </c>
      <c r="AL12" s="5" t="s">
        <v>45</v>
      </c>
      <c r="AM12" s="12" t="s">
        <v>46</v>
      </c>
    </row>
    <row r="13" spans="1:39" x14ac:dyDescent="0.3">
      <c r="A13" s="9" t="s">
        <v>47</v>
      </c>
      <c r="B13" s="2">
        <v>46061.654641585701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100</v>
      </c>
      <c r="K13" s="1" t="s">
        <v>55</v>
      </c>
      <c r="L13" s="1" t="s">
        <v>56</v>
      </c>
      <c r="M13" s="1">
        <v>40</v>
      </c>
      <c r="N13" s="1" t="s">
        <v>57</v>
      </c>
      <c r="O13" s="1">
        <v>1</v>
      </c>
      <c r="P13" s="1">
        <v>34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 t="s">
        <v>58</v>
      </c>
      <c r="W13" s="1" t="s">
        <v>59</v>
      </c>
      <c r="X13" s="1" t="s">
        <v>60</v>
      </c>
      <c r="Y13" s="2">
        <v>46061.675080671303</v>
      </c>
      <c r="Z13" s="1" t="s">
        <v>61</v>
      </c>
      <c r="AA13" s="1">
        <v>70000</v>
      </c>
      <c r="AB13" s="1">
        <v>25000</v>
      </c>
      <c r="AC13" s="1">
        <v>38000</v>
      </c>
      <c r="AD13" s="1">
        <v>39000</v>
      </c>
      <c r="AE13" s="1" t="s">
        <v>62</v>
      </c>
      <c r="AF13" s="1">
        <f>AD13-AC13</f>
        <v>1000</v>
      </c>
      <c r="AG13" s="1" t="s">
        <v>63</v>
      </c>
      <c r="AH13" s="2">
        <v>46061.675623379597</v>
      </c>
      <c r="AI13" s="1" t="s">
        <v>61</v>
      </c>
      <c r="AJ13" s="1" t="s">
        <v>61</v>
      </c>
      <c r="AK13" s="1" t="s">
        <v>64</v>
      </c>
      <c r="AL13" s="1"/>
      <c r="AM13" s="13" t="s">
        <v>65</v>
      </c>
    </row>
    <row r="14" spans="1:39" x14ac:dyDescent="0.3">
      <c r="A14" s="10" t="s">
        <v>47</v>
      </c>
      <c r="B14" s="4">
        <v>46061.654641585701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>
        <v>100</v>
      </c>
      <c r="K14" s="3" t="s">
        <v>55</v>
      </c>
      <c r="L14" s="3" t="s">
        <v>56</v>
      </c>
      <c r="M14" s="3">
        <v>40</v>
      </c>
      <c r="N14" s="3" t="s">
        <v>57</v>
      </c>
      <c r="O14" s="3">
        <v>1</v>
      </c>
      <c r="P14" s="3">
        <v>34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 t="s">
        <v>58</v>
      </c>
      <c r="W14" s="3" t="s">
        <v>59</v>
      </c>
      <c r="X14" s="3" t="s">
        <v>60</v>
      </c>
      <c r="Y14" s="4">
        <v>46061.675080671303</v>
      </c>
      <c r="Z14" s="3" t="s">
        <v>61</v>
      </c>
      <c r="AA14" s="1">
        <v>70000</v>
      </c>
      <c r="AB14" s="1">
        <v>25000</v>
      </c>
      <c r="AC14" s="1">
        <v>38000</v>
      </c>
      <c r="AD14" s="1">
        <v>39000</v>
      </c>
      <c r="AE14" s="3" t="s">
        <v>62</v>
      </c>
      <c r="AF14" s="1">
        <f t="shared" ref="AF14:AF22" si="0">AD14-AC14</f>
        <v>1000</v>
      </c>
      <c r="AG14" s="3" t="s">
        <v>63</v>
      </c>
      <c r="AH14" s="4">
        <v>46061.675623379597</v>
      </c>
      <c r="AI14" s="3" t="s">
        <v>61</v>
      </c>
      <c r="AJ14" s="3" t="s">
        <v>61</v>
      </c>
      <c r="AK14" s="3" t="s">
        <v>66</v>
      </c>
      <c r="AL14" s="3"/>
      <c r="AM14" s="14" t="s">
        <v>65</v>
      </c>
    </row>
    <row r="15" spans="1:39" x14ac:dyDescent="0.3">
      <c r="A15" s="9" t="s">
        <v>47</v>
      </c>
      <c r="B15" s="2">
        <v>46061.6546143866</v>
      </c>
      <c r="C15" s="1" t="s">
        <v>48</v>
      </c>
      <c r="D15" s="1" t="s">
        <v>49</v>
      </c>
      <c r="E15" s="1" t="s">
        <v>50</v>
      </c>
      <c r="F15" s="1" t="s">
        <v>51</v>
      </c>
      <c r="G15" s="1" t="s">
        <v>67</v>
      </c>
      <c r="H15" s="1" t="s">
        <v>68</v>
      </c>
      <c r="I15" s="1" t="s">
        <v>69</v>
      </c>
      <c r="J15" s="1">
        <v>120</v>
      </c>
      <c r="K15" s="1" t="s">
        <v>70</v>
      </c>
      <c r="L15" s="1" t="s">
        <v>71</v>
      </c>
      <c r="M15" s="1">
        <v>40</v>
      </c>
      <c r="N15" s="1" t="s">
        <v>57</v>
      </c>
      <c r="O15" s="1">
        <v>1</v>
      </c>
      <c r="P15" s="1">
        <v>34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 t="s">
        <v>58</v>
      </c>
      <c r="W15" s="1" t="s">
        <v>59</v>
      </c>
      <c r="X15" s="1" t="s">
        <v>72</v>
      </c>
      <c r="Y15" s="2">
        <v>46061.675016782399</v>
      </c>
      <c r="Z15" s="1" t="s">
        <v>61</v>
      </c>
      <c r="AA15" s="1">
        <v>70000</v>
      </c>
      <c r="AB15" s="1">
        <v>25000</v>
      </c>
      <c r="AC15" s="1">
        <v>38000</v>
      </c>
      <c r="AD15" s="1">
        <v>39000</v>
      </c>
      <c r="AE15" s="1" t="s">
        <v>62</v>
      </c>
      <c r="AF15" s="1">
        <f t="shared" si="0"/>
        <v>1000</v>
      </c>
      <c r="AG15" s="1" t="s">
        <v>63</v>
      </c>
      <c r="AH15" s="2">
        <v>46061.675549270803</v>
      </c>
      <c r="AI15" s="1" t="s">
        <v>61</v>
      </c>
      <c r="AJ15" s="1" t="s">
        <v>61</v>
      </c>
      <c r="AK15" s="1" t="s">
        <v>64</v>
      </c>
      <c r="AL15" s="1"/>
      <c r="AM15" s="13" t="s">
        <v>73</v>
      </c>
    </row>
    <row r="16" spans="1:39" x14ac:dyDescent="0.3">
      <c r="A16" s="10" t="s">
        <v>47</v>
      </c>
      <c r="B16" s="4">
        <v>46061.6546143866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67</v>
      </c>
      <c r="H16" s="3" t="s">
        <v>68</v>
      </c>
      <c r="I16" s="3" t="s">
        <v>69</v>
      </c>
      <c r="J16" s="3">
        <v>120</v>
      </c>
      <c r="K16" s="3" t="s">
        <v>70</v>
      </c>
      <c r="L16" s="3" t="s">
        <v>71</v>
      </c>
      <c r="M16" s="3">
        <v>40</v>
      </c>
      <c r="N16" s="3" t="s">
        <v>57</v>
      </c>
      <c r="O16" s="3">
        <v>1</v>
      </c>
      <c r="P16" s="3">
        <v>34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 t="s">
        <v>58</v>
      </c>
      <c r="W16" s="3" t="s">
        <v>59</v>
      </c>
      <c r="X16" s="3" t="s">
        <v>72</v>
      </c>
      <c r="Y16" s="4">
        <v>46061.675016782399</v>
      </c>
      <c r="Z16" s="3" t="s">
        <v>61</v>
      </c>
      <c r="AA16" s="1">
        <v>70000</v>
      </c>
      <c r="AB16" s="1">
        <v>25000</v>
      </c>
      <c r="AC16" s="1">
        <v>38000</v>
      </c>
      <c r="AD16" s="1">
        <v>39000</v>
      </c>
      <c r="AE16" s="3" t="s">
        <v>62</v>
      </c>
      <c r="AF16" s="1">
        <f t="shared" si="0"/>
        <v>1000</v>
      </c>
      <c r="AG16" s="3" t="s">
        <v>63</v>
      </c>
      <c r="AH16" s="4">
        <v>46061.675549270803</v>
      </c>
      <c r="AI16" s="3" t="s">
        <v>61</v>
      </c>
      <c r="AJ16" s="3" t="s">
        <v>61</v>
      </c>
      <c r="AK16" s="3" t="s">
        <v>66</v>
      </c>
      <c r="AL16" s="3"/>
      <c r="AM16" s="14" t="s">
        <v>73</v>
      </c>
    </row>
    <row r="17" spans="1:39" x14ac:dyDescent="0.3">
      <c r="A17" s="9" t="s">
        <v>47</v>
      </c>
      <c r="B17" s="2">
        <v>46061.654585335702</v>
      </c>
      <c r="C17" s="1" t="s">
        <v>74</v>
      </c>
      <c r="D17" s="1" t="s">
        <v>49</v>
      </c>
      <c r="E17" s="1" t="s">
        <v>50</v>
      </c>
      <c r="F17" s="1" t="s">
        <v>51</v>
      </c>
      <c r="G17" s="1" t="s">
        <v>52</v>
      </c>
      <c r="H17" s="1" t="s">
        <v>75</v>
      </c>
      <c r="I17" s="1" t="s">
        <v>69</v>
      </c>
      <c r="J17" s="1">
        <v>120</v>
      </c>
      <c r="K17" s="1" t="s">
        <v>76</v>
      </c>
      <c r="L17" s="1" t="s">
        <v>77</v>
      </c>
      <c r="M17" s="1">
        <v>40</v>
      </c>
      <c r="N17" s="1" t="s">
        <v>57</v>
      </c>
      <c r="O17" s="1">
        <v>1</v>
      </c>
      <c r="P17" s="1">
        <v>34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 t="s">
        <v>58</v>
      </c>
      <c r="W17" s="1" t="s">
        <v>59</v>
      </c>
      <c r="X17" s="1" t="s">
        <v>78</v>
      </c>
      <c r="Y17" s="2">
        <v>46061.674937118099</v>
      </c>
      <c r="Z17" s="1" t="s">
        <v>61</v>
      </c>
      <c r="AA17" s="1">
        <v>70000</v>
      </c>
      <c r="AB17" s="1">
        <v>25000</v>
      </c>
      <c r="AC17" s="1">
        <v>38000</v>
      </c>
      <c r="AD17" s="1">
        <v>39000</v>
      </c>
      <c r="AE17" s="1" t="s">
        <v>62</v>
      </c>
      <c r="AF17" s="1">
        <f t="shared" si="0"/>
        <v>1000</v>
      </c>
      <c r="AG17" s="1" t="s">
        <v>63</v>
      </c>
      <c r="AH17" s="2">
        <v>46061.6754772801</v>
      </c>
      <c r="AI17" s="1" t="s">
        <v>61</v>
      </c>
      <c r="AJ17" s="1" t="s">
        <v>61</v>
      </c>
      <c r="AK17" s="1" t="s">
        <v>64</v>
      </c>
      <c r="AL17" s="1"/>
      <c r="AM17" s="13" t="s">
        <v>79</v>
      </c>
    </row>
    <row r="18" spans="1:39" x14ac:dyDescent="0.3">
      <c r="A18" s="10" t="s">
        <v>47</v>
      </c>
      <c r="B18" s="4">
        <v>46061.654585335702</v>
      </c>
      <c r="C18" s="3" t="s">
        <v>74</v>
      </c>
      <c r="D18" s="3" t="s">
        <v>49</v>
      </c>
      <c r="E18" s="3" t="s">
        <v>50</v>
      </c>
      <c r="F18" s="3" t="s">
        <v>51</v>
      </c>
      <c r="G18" s="3" t="s">
        <v>52</v>
      </c>
      <c r="H18" s="3" t="s">
        <v>75</v>
      </c>
      <c r="I18" s="3" t="s">
        <v>69</v>
      </c>
      <c r="J18" s="3">
        <v>120</v>
      </c>
      <c r="K18" s="3" t="s">
        <v>76</v>
      </c>
      <c r="L18" s="3" t="s">
        <v>77</v>
      </c>
      <c r="M18" s="3">
        <v>40</v>
      </c>
      <c r="N18" s="3" t="s">
        <v>57</v>
      </c>
      <c r="O18" s="3">
        <v>1</v>
      </c>
      <c r="P18" s="3">
        <v>34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 t="s">
        <v>58</v>
      </c>
      <c r="W18" s="3" t="s">
        <v>59</v>
      </c>
      <c r="X18" s="3" t="s">
        <v>78</v>
      </c>
      <c r="Y18" s="4">
        <v>46061.674937118099</v>
      </c>
      <c r="Z18" s="3" t="s">
        <v>61</v>
      </c>
      <c r="AA18" s="1">
        <v>70000</v>
      </c>
      <c r="AB18" s="1">
        <v>25000</v>
      </c>
      <c r="AC18" s="1">
        <v>38000</v>
      </c>
      <c r="AD18" s="1">
        <v>39000</v>
      </c>
      <c r="AE18" s="3" t="s">
        <v>62</v>
      </c>
      <c r="AF18" s="1">
        <f t="shared" si="0"/>
        <v>1000</v>
      </c>
      <c r="AG18" s="3" t="s">
        <v>63</v>
      </c>
      <c r="AH18" s="4">
        <v>46061.6754772801</v>
      </c>
      <c r="AI18" s="3" t="s">
        <v>61</v>
      </c>
      <c r="AJ18" s="3" t="s">
        <v>61</v>
      </c>
      <c r="AK18" s="3" t="s">
        <v>66</v>
      </c>
      <c r="AL18" s="3"/>
      <c r="AM18" s="14" t="s">
        <v>79</v>
      </c>
    </row>
    <row r="19" spans="1:39" x14ac:dyDescent="0.3">
      <c r="A19" s="9" t="s">
        <v>47</v>
      </c>
      <c r="B19" s="2">
        <v>46061.654558136601</v>
      </c>
      <c r="C19" s="1" t="s">
        <v>74</v>
      </c>
      <c r="D19" s="1" t="s">
        <v>49</v>
      </c>
      <c r="E19" s="1" t="s">
        <v>50</v>
      </c>
      <c r="F19" s="1" t="s">
        <v>51</v>
      </c>
      <c r="G19" s="1" t="s">
        <v>52</v>
      </c>
      <c r="H19" s="1" t="s">
        <v>80</v>
      </c>
      <c r="I19" s="1" t="s">
        <v>81</v>
      </c>
      <c r="J19" s="1">
        <v>122</v>
      </c>
      <c r="K19" s="1" t="s">
        <v>82</v>
      </c>
      <c r="L19" s="1" t="s">
        <v>83</v>
      </c>
      <c r="M19" s="1">
        <v>45</v>
      </c>
      <c r="N19" s="1" t="s">
        <v>57</v>
      </c>
      <c r="O19" s="1">
        <v>1</v>
      </c>
      <c r="P19" s="1">
        <v>34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 t="s">
        <v>58</v>
      </c>
      <c r="W19" s="1" t="s">
        <v>59</v>
      </c>
      <c r="X19" s="1" t="s">
        <v>84</v>
      </c>
      <c r="Y19" s="2">
        <v>46061.674555752303</v>
      </c>
      <c r="Z19" s="1" t="s">
        <v>61</v>
      </c>
      <c r="AA19" s="1">
        <v>70000</v>
      </c>
      <c r="AB19" s="1">
        <v>25000</v>
      </c>
      <c r="AC19" s="1">
        <v>38000</v>
      </c>
      <c r="AD19" s="1">
        <v>39000</v>
      </c>
      <c r="AE19" s="1" t="s">
        <v>62</v>
      </c>
      <c r="AF19" s="1">
        <f t="shared" si="0"/>
        <v>1000</v>
      </c>
      <c r="AG19" s="1" t="s">
        <v>63</v>
      </c>
      <c r="AH19" s="2">
        <v>46061.675419213003</v>
      </c>
      <c r="AI19" s="1" t="s">
        <v>61</v>
      </c>
      <c r="AJ19" s="1" t="s">
        <v>61</v>
      </c>
      <c r="AK19" s="1" t="s">
        <v>64</v>
      </c>
      <c r="AL19" s="1"/>
      <c r="AM19" s="13" t="s">
        <v>85</v>
      </c>
    </row>
    <row r="20" spans="1:39" x14ac:dyDescent="0.3">
      <c r="A20" s="10" t="s">
        <v>47</v>
      </c>
      <c r="B20" s="4">
        <v>46061.654558136601</v>
      </c>
      <c r="C20" s="3" t="s">
        <v>74</v>
      </c>
      <c r="D20" s="3" t="s">
        <v>49</v>
      </c>
      <c r="E20" s="3" t="s">
        <v>50</v>
      </c>
      <c r="F20" s="3" t="s">
        <v>51</v>
      </c>
      <c r="G20" s="3" t="s">
        <v>52</v>
      </c>
      <c r="H20" s="3" t="s">
        <v>80</v>
      </c>
      <c r="I20" s="3" t="s">
        <v>81</v>
      </c>
      <c r="J20" s="3">
        <v>122</v>
      </c>
      <c r="K20" s="3" t="s">
        <v>82</v>
      </c>
      <c r="L20" s="3" t="s">
        <v>83</v>
      </c>
      <c r="M20" s="3">
        <v>45</v>
      </c>
      <c r="N20" s="3" t="s">
        <v>57</v>
      </c>
      <c r="O20" s="3">
        <v>1</v>
      </c>
      <c r="P20" s="3">
        <v>34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 t="s">
        <v>58</v>
      </c>
      <c r="W20" s="3" t="s">
        <v>59</v>
      </c>
      <c r="X20" s="3" t="s">
        <v>84</v>
      </c>
      <c r="Y20" s="4">
        <v>46061.674555752303</v>
      </c>
      <c r="Z20" s="3" t="s">
        <v>61</v>
      </c>
      <c r="AA20" s="1">
        <v>70000</v>
      </c>
      <c r="AB20" s="1">
        <v>25000</v>
      </c>
      <c r="AC20" s="1">
        <v>38000</v>
      </c>
      <c r="AD20" s="1">
        <v>39000</v>
      </c>
      <c r="AE20" s="3" t="s">
        <v>62</v>
      </c>
      <c r="AF20" s="1">
        <f t="shared" si="0"/>
        <v>1000</v>
      </c>
      <c r="AG20" s="3" t="s">
        <v>63</v>
      </c>
      <c r="AH20" s="4">
        <v>46061.675419213003</v>
      </c>
      <c r="AI20" s="3" t="s">
        <v>61</v>
      </c>
      <c r="AJ20" s="3" t="s">
        <v>61</v>
      </c>
      <c r="AK20" s="3" t="s">
        <v>66</v>
      </c>
      <c r="AL20" s="3"/>
      <c r="AM20" s="14" t="s">
        <v>85</v>
      </c>
    </row>
    <row r="21" spans="1:39" x14ac:dyDescent="0.3">
      <c r="A21" s="9" t="s">
        <v>47</v>
      </c>
      <c r="B21" s="2">
        <v>46061.654529976899</v>
      </c>
      <c r="C21" s="1" t="s">
        <v>48</v>
      </c>
      <c r="D21" s="1" t="s">
        <v>49</v>
      </c>
      <c r="E21" s="1" t="s">
        <v>50</v>
      </c>
      <c r="F21" s="1" t="s">
        <v>51</v>
      </c>
      <c r="G21" s="1" t="s">
        <v>67</v>
      </c>
      <c r="H21" s="1" t="s">
        <v>86</v>
      </c>
      <c r="I21" s="1" t="s">
        <v>69</v>
      </c>
      <c r="J21" s="1">
        <v>120</v>
      </c>
      <c r="K21" s="1" t="s">
        <v>87</v>
      </c>
      <c r="L21" s="1" t="s">
        <v>88</v>
      </c>
      <c r="M21" s="1">
        <v>40</v>
      </c>
      <c r="N21" s="1" t="s">
        <v>57</v>
      </c>
      <c r="O21" s="1">
        <v>1</v>
      </c>
      <c r="P21" s="1">
        <v>34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 t="s">
        <v>58</v>
      </c>
      <c r="W21" s="1" t="s">
        <v>89</v>
      </c>
      <c r="X21" s="1" t="s">
        <v>90</v>
      </c>
      <c r="Y21" s="2">
        <v>46061.674471099497</v>
      </c>
      <c r="Z21" s="1" t="s">
        <v>61</v>
      </c>
      <c r="AA21" s="1">
        <v>70000</v>
      </c>
      <c r="AB21" s="1">
        <v>25000</v>
      </c>
      <c r="AC21" s="1">
        <v>38000</v>
      </c>
      <c r="AD21" s="1">
        <v>39000</v>
      </c>
      <c r="AE21" s="1" t="s">
        <v>62</v>
      </c>
      <c r="AF21" s="1">
        <f t="shared" si="0"/>
        <v>1000</v>
      </c>
      <c r="AG21" s="1" t="s">
        <v>63</v>
      </c>
      <c r="AH21" s="2">
        <v>46061.675344479198</v>
      </c>
      <c r="AI21" s="1" t="s">
        <v>61</v>
      </c>
      <c r="AJ21" s="1" t="s">
        <v>61</v>
      </c>
      <c r="AK21" s="1" t="s">
        <v>64</v>
      </c>
      <c r="AL21" s="1"/>
      <c r="AM21" s="13" t="s">
        <v>90</v>
      </c>
    </row>
    <row r="22" spans="1:39" x14ac:dyDescent="0.3">
      <c r="A22" s="11" t="s">
        <v>47</v>
      </c>
      <c r="B22" s="6">
        <v>46061.654529976899</v>
      </c>
      <c r="C22" s="7" t="s">
        <v>48</v>
      </c>
      <c r="D22" s="7" t="s">
        <v>49</v>
      </c>
      <c r="E22" s="7" t="s">
        <v>50</v>
      </c>
      <c r="F22" s="7" t="s">
        <v>51</v>
      </c>
      <c r="G22" s="7" t="s">
        <v>67</v>
      </c>
      <c r="H22" s="7" t="s">
        <v>86</v>
      </c>
      <c r="I22" s="7" t="s">
        <v>69</v>
      </c>
      <c r="J22" s="7">
        <v>120</v>
      </c>
      <c r="K22" s="7" t="s">
        <v>87</v>
      </c>
      <c r="L22" s="7" t="s">
        <v>88</v>
      </c>
      <c r="M22" s="7">
        <v>40</v>
      </c>
      <c r="N22" s="7" t="s">
        <v>57</v>
      </c>
      <c r="O22" s="7">
        <v>1</v>
      </c>
      <c r="P22" s="7">
        <v>34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 t="s">
        <v>58</v>
      </c>
      <c r="W22" s="7" t="s">
        <v>89</v>
      </c>
      <c r="X22" s="7" t="s">
        <v>90</v>
      </c>
      <c r="Y22" s="6">
        <v>46061.674471099497</v>
      </c>
      <c r="Z22" s="7" t="s">
        <v>61</v>
      </c>
      <c r="AA22" s="1">
        <v>70000</v>
      </c>
      <c r="AB22" s="1">
        <v>25000</v>
      </c>
      <c r="AC22" s="1">
        <v>38000</v>
      </c>
      <c r="AD22" s="1">
        <v>39000</v>
      </c>
      <c r="AE22" s="7" t="s">
        <v>62</v>
      </c>
      <c r="AF22" s="1">
        <f t="shared" si="0"/>
        <v>1000</v>
      </c>
      <c r="AG22" s="7" t="s">
        <v>63</v>
      </c>
      <c r="AH22" s="6">
        <v>46061.675344479198</v>
      </c>
      <c r="AI22" s="7" t="s">
        <v>61</v>
      </c>
      <c r="AJ22" s="7" t="s">
        <v>61</v>
      </c>
      <c r="AK22" s="7" t="s">
        <v>66</v>
      </c>
      <c r="AL22" s="7"/>
      <c r="AM22" s="15" t="s">
        <v>90</v>
      </c>
    </row>
  </sheetData>
  <mergeCells count="8">
    <mergeCell ref="T8:X8"/>
    <mergeCell ref="Y8:AA8"/>
    <mergeCell ref="A2:AM2"/>
    <mergeCell ref="A1:AM1"/>
    <mergeCell ref="T6:X6"/>
    <mergeCell ref="Y6:AA6"/>
    <mergeCell ref="T7:X7"/>
    <mergeCell ref="Y7:AA7"/>
  </mergeCells>
  <conditionalFormatting sqref="AF13:AF22">
    <cfRule type="cellIs" dxfId="0" priority="1" operator="greaterThan">
      <formula>100</formula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رحلات النفط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بلال</cp:lastModifiedBy>
  <dcterms:modified xsi:type="dcterms:W3CDTF">2026-05-16T12:03:53Z</dcterms:modified>
</cp:coreProperties>
</file>